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By Category" sheetId="3" state="visible" r:id="rId3"/>
  </sheets>
  <definedNames>
    <definedName name="_xlnm._FilterDatabase" localSheetId="1" hidden="1">'Findings'!$A$1:$J$1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Arial"/>
      <b val="1"/>
      <color rgb="FF1F3864"/>
      <sz val="16"/>
    </font>
    <font>
      <name val="Arial"/>
      <color rgb="FF555555"/>
      <sz val="11"/>
    </font>
    <font>
      <name val="Arial"/>
      <b val="1"/>
      <color rgb="FF555555"/>
      <sz val="9"/>
    </font>
    <font>
      <name val="Arial"/>
      <b val="1"/>
      <color rgb="FF1F3864"/>
      <sz val="22"/>
    </font>
    <font>
      <name val="Arial"/>
      <b val="1"/>
      <color rgb="FF00B050"/>
      <sz val="22"/>
    </font>
    <font>
      <name val="Arial"/>
      <b val="1"/>
      <color rgb="FFCC0000"/>
      <sz val="22"/>
    </font>
    <font>
      <name val="Arial"/>
      <b val="1"/>
      <color rgb="FFFFC000"/>
      <sz val="22"/>
    </font>
    <font>
      <name val="Arial"/>
      <b val="1"/>
      <color rgb="FF00B050"/>
      <sz val="13"/>
    </font>
    <font>
      <name val="Arial"/>
      <b val="1"/>
      <sz val="10"/>
    </font>
    <font>
      <name val="Arial"/>
      <b val="1"/>
      <color rgb="FFFF0000"/>
      <sz val="10"/>
    </font>
    <font>
      <name val="Arial"/>
      <sz val="10"/>
    </font>
    <font>
      <name val="Arial"/>
      <b val="1"/>
      <color rgb="FFFF6600"/>
      <sz val="10"/>
    </font>
    <font>
      <name val="Arial"/>
      <b val="1"/>
      <color rgb="FFFFC000"/>
      <sz val="10"/>
    </font>
    <font>
      <name val="Arial"/>
      <b val="1"/>
      <color rgb="FF00B050"/>
      <sz val="10"/>
    </font>
    <font>
      <name val="Arial"/>
      <b val="1"/>
      <color rgb="FFFFFFFF"/>
      <sz val="10"/>
    </font>
    <font>
      <name val="Arial"/>
      <b val="1"/>
      <color rgb="FFCC0000"/>
      <sz val="10"/>
    </font>
  </fonts>
  <fills count="10">
    <fill>
      <patternFill/>
    </fill>
    <fill>
      <patternFill patternType="gray125"/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F0FFF0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00B05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3" borderId="1" pivotButton="0" quotePrefix="0" xfId="0"/>
    <xf numFmtId="0" fontId="11" fillId="0" borderId="1" applyAlignment="1" pivotButton="0" quotePrefix="0" xfId="0">
      <alignment horizontal="center" vertical="center"/>
    </xf>
    <xf numFmtId="0" fontId="12" fillId="3" borderId="1" pivotButton="0" quotePrefix="0" xfId="0"/>
    <xf numFmtId="0" fontId="13" fillId="3" borderId="1" pivotButton="0" quotePrefix="0" xfId="0"/>
    <xf numFmtId="0" fontId="14" fillId="3" borderId="1" pivotButton="0" quotePrefix="0" xfId="0"/>
    <xf numFmtId="0" fontId="15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164" fontId="14" fillId="7" borderId="1" applyAlignment="1" pivotButton="0" quotePrefix="0" xfId="0">
      <alignment horizontal="center" vertical="center"/>
    </xf>
    <xf numFmtId="164" fontId="14" fillId="3" borderId="1" applyAlignment="1" pivotButton="0" quotePrefix="0" xfId="0">
      <alignment horizontal="center" vertical="center"/>
    </xf>
    <xf numFmtId="164" fontId="1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0" customHeight="1"/>
    <row r="2">
      <c r="B2" s="1" t="inlineStr">
        <is>
          <t>CIS Benchmark Configuration Review</t>
        </is>
      </c>
    </row>
    <row r="3"/>
    <row r="4" ht="18" customHeight="1">
      <c r="B4" s="2" t="inlineStr">
        <is>
          <t>System: Windows Endpoint  |  Depth: Intermediate  |  Scan Date: 18 Mar 2026 11:31  |  Host: runsc</t>
        </is>
      </c>
    </row>
    <row r="6" ht="22" customHeight="1">
      <c r="B6" s="3" t="inlineStr">
        <is>
          <t>Total Checks</t>
        </is>
      </c>
      <c r="C6" s="3" t="inlineStr">
        <is>
          <t>Compliant</t>
        </is>
      </c>
      <c r="D6" s="3" t="inlineStr">
        <is>
          <t>Non-Compliant</t>
        </is>
      </c>
      <c r="E6" s="3" t="inlineStr">
        <is>
          <t>Errors</t>
        </is>
      </c>
    </row>
    <row r="7" ht="38" customHeight="1">
      <c r="B7" s="4" t="n">
        <v>36</v>
      </c>
      <c r="C7" s="5" t="n">
        <v>35</v>
      </c>
      <c r="D7" s="6" t="n">
        <v>1</v>
      </c>
      <c r="E7" s="7" t="n">
        <v>0</v>
      </c>
    </row>
    <row r="8" ht="22" customHeight="1"/>
    <row r="9" ht="28" customHeight="1">
      <c r="B9" s="8" t="inlineStr">
        <is>
          <t>Compliance Score: 97.2%</t>
        </is>
      </c>
    </row>
    <row r="11" ht="20" customHeight="1">
      <c r="B11" s="9" t="inlineStr">
        <is>
          <t>Non-Compliant Findings by Severity</t>
        </is>
      </c>
    </row>
    <row r="12" ht="20" customHeight="1">
      <c r="B12" s="10" t="inlineStr">
        <is>
          <t>Critical</t>
        </is>
      </c>
      <c r="C12" s="11" t="n">
        <v>0</v>
      </c>
    </row>
    <row r="13" ht="20" customHeight="1">
      <c r="B13" s="12" t="inlineStr">
        <is>
          <t>High</t>
        </is>
      </c>
      <c r="C13" s="11" t="n">
        <v>1</v>
      </c>
    </row>
    <row r="14" ht="20" customHeight="1">
      <c r="B14" s="13" t="inlineStr">
        <is>
          <t>Medium</t>
        </is>
      </c>
      <c r="C14" s="11" t="n">
        <v>0</v>
      </c>
    </row>
    <row r="15" ht="20" customHeight="1">
      <c r="B15" s="14" t="inlineStr">
        <is>
          <t>Low</t>
        </is>
      </c>
      <c r="C15" s="11" t="n">
        <v>0</v>
      </c>
    </row>
    <row r="17" ht="20" customHeight="1">
      <c r="B17" s="15" t="inlineStr">
        <is>
          <t>Results by Category</t>
        </is>
      </c>
    </row>
    <row r="18" ht="20" customHeight="1">
      <c r="B18" s="16" t="inlineStr">
        <is>
          <t>Category</t>
        </is>
      </c>
      <c r="C18" s="16" t="inlineStr">
        <is>
          <t>Total</t>
        </is>
      </c>
      <c r="D18" s="16" t="inlineStr">
        <is>
          <t>Compliant</t>
        </is>
      </c>
      <c r="E18" s="16" t="inlineStr">
        <is>
          <t>Non-Compliant</t>
        </is>
      </c>
      <c r="F18" s="16" t="inlineStr">
        <is>
          <t>Pass Rate</t>
        </is>
      </c>
    </row>
    <row r="19" ht="18" customHeight="1">
      <c r="B19" s="17" t="inlineStr">
        <is>
          <t>Account Policies</t>
        </is>
      </c>
      <c r="C19" s="18" t="n">
        <v>7</v>
      </c>
      <c r="D19" s="18" t="n">
        <v>7</v>
      </c>
      <c r="E19" s="18" t="n">
        <v>0</v>
      </c>
      <c r="F19" s="18" t="inlineStr">
        <is>
          <t>100%</t>
        </is>
      </c>
    </row>
    <row r="20" ht="18" customHeight="1">
      <c r="B20" s="19" t="inlineStr">
        <is>
          <t>Audit Policy</t>
        </is>
      </c>
      <c r="C20" s="20" t="n">
        <v>7</v>
      </c>
      <c r="D20" s="20" t="n">
        <v>7</v>
      </c>
      <c r="E20" s="20" t="n">
        <v>0</v>
      </c>
      <c r="F20" s="20" t="inlineStr">
        <is>
          <t>100%</t>
        </is>
      </c>
    </row>
    <row r="21" ht="18" customHeight="1">
      <c r="B21" s="17" t="inlineStr">
        <is>
          <t>Authentication</t>
        </is>
      </c>
      <c r="C21" s="18" t="n">
        <v>3</v>
      </c>
      <c r="D21" s="18" t="n">
        <v>3</v>
      </c>
      <c r="E21" s="18" t="n">
        <v>0</v>
      </c>
      <c r="F21" s="18" t="inlineStr">
        <is>
          <t>100%</t>
        </is>
      </c>
    </row>
    <row r="22" ht="18" customHeight="1">
      <c r="B22" s="19" t="inlineStr">
        <is>
          <t>Network Security</t>
        </is>
      </c>
      <c r="C22" s="20" t="n">
        <v>2</v>
      </c>
      <c r="D22" s="20" t="n">
        <v>2</v>
      </c>
      <c r="E22" s="20" t="n">
        <v>0</v>
      </c>
      <c r="F22" s="20" t="inlineStr">
        <is>
          <t>100%</t>
        </is>
      </c>
    </row>
    <row r="23" ht="18" customHeight="1">
      <c r="B23" s="17" t="inlineStr">
        <is>
          <t>Patch Management</t>
        </is>
      </c>
      <c r="C23" s="18" t="n">
        <v>2</v>
      </c>
      <c r="D23" s="18" t="n">
        <v>2</v>
      </c>
      <c r="E23" s="18" t="n">
        <v>0</v>
      </c>
      <c r="F23" s="18" t="inlineStr">
        <is>
          <t>100%</t>
        </is>
      </c>
    </row>
    <row r="24" ht="18" customHeight="1">
      <c r="B24" s="19" t="inlineStr">
        <is>
          <t>Remote Management</t>
        </is>
      </c>
      <c r="C24" s="20" t="n">
        <v>2</v>
      </c>
      <c r="D24" s="20" t="n">
        <v>2</v>
      </c>
      <c r="E24" s="20" t="n">
        <v>0</v>
      </c>
      <c r="F24" s="20" t="inlineStr">
        <is>
          <t>100%</t>
        </is>
      </c>
    </row>
    <row r="25" ht="18" customHeight="1">
      <c r="B25" s="17" t="inlineStr">
        <is>
          <t>Security Settings</t>
        </is>
      </c>
      <c r="C25" s="18" t="n">
        <v>3</v>
      </c>
      <c r="D25" s="18" t="n">
        <v>3</v>
      </c>
      <c r="E25" s="18" t="n">
        <v>0</v>
      </c>
      <c r="F25" s="18" t="inlineStr">
        <is>
          <t>100%</t>
        </is>
      </c>
    </row>
    <row r="26" ht="18" customHeight="1">
      <c r="B26" s="19" t="inlineStr">
        <is>
          <t>Services</t>
        </is>
      </c>
      <c r="C26" s="20" t="n">
        <v>2</v>
      </c>
      <c r="D26" s="20" t="n">
        <v>1</v>
      </c>
      <c r="E26" s="20" t="n">
        <v>1</v>
      </c>
      <c r="F26" s="20" t="inlineStr">
        <is>
          <t>50%</t>
        </is>
      </c>
    </row>
    <row r="27" ht="18" customHeight="1">
      <c r="B27" s="17" t="inlineStr">
        <is>
          <t>Session Security</t>
        </is>
      </c>
      <c r="C27" s="18" t="n">
        <v>1</v>
      </c>
      <c r="D27" s="18" t="n">
        <v>1</v>
      </c>
      <c r="E27" s="18" t="n">
        <v>0</v>
      </c>
      <c r="F27" s="18" t="inlineStr">
        <is>
          <t>100%</t>
        </is>
      </c>
    </row>
    <row r="28" ht="18" customHeight="1">
      <c r="B28" s="19" t="inlineStr">
        <is>
          <t>User Account Control</t>
        </is>
      </c>
      <c r="C28" s="20" t="n">
        <v>4</v>
      </c>
      <c r="D28" s="20" t="n">
        <v>4</v>
      </c>
      <c r="E28" s="20" t="n">
        <v>0</v>
      </c>
      <c r="F28" s="20" t="inlineStr">
        <is>
          <t>100%</t>
        </is>
      </c>
    </row>
    <row r="29" ht="18" customHeight="1">
      <c r="B29" s="17" t="inlineStr">
        <is>
          <t>Windows Firewall</t>
        </is>
      </c>
      <c r="C29" s="18" t="n">
        <v>3</v>
      </c>
      <c r="D29" s="18" t="n">
        <v>3</v>
      </c>
      <c r="E29" s="18" t="n">
        <v>0</v>
      </c>
      <c r="F29" s="18" t="inlineStr">
        <is>
          <t>100%</t>
        </is>
      </c>
    </row>
  </sheetData>
  <mergeCells count="13">
    <mergeCell ref="B4:F4"/>
    <mergeCell ref="B2:F3"/>
    <mergeCell ref="B11:F11"/>
    <mergeCell ref="C7"/>
    <mergeCell ref="B7"/>
    <mergeCell ref="D6"/>
    <mergeCell ref="B6"/>
    <mergeCell ref="D7"/>
    <mergeCell ref="E6"/>
    <mergeCell ref="C6"/>
    <mergeCell ref="E7"/>
    <mergeCell ref="B17:F17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12" customWidth="1" min="4" max="4"/>
    <col width="16" customWidth="1" min="5" max="5"/>
    <col width="26" customWidth="1" min="6" max="6"/>
    <col width="26" customWidth="1" min="7" max="7"/>
    <col width="42" customWidth="1" min="8" max="8"/>
    <col width="52" customWidth="1" min="9" max="9"/>
    <col width="30" customWidth="1" min="10" max="10"/>
  </cols>
  <sheetData>
    <row r="1" ht="28" customHeight="1">
      <c r="A1" s="21" t="inlineStr">
        <is>
          <t>Control ID</t>
        </is>
      </c>
      <c r="B1" s="21" t="inlineStr">
        <is>
          <t>Control Name</t>
        </is>
      </c>
      <c r="C1" s="21" t="inlineStr">
        <is>
          <t>Category</t>
        </is>
      </c>
      <c r="D1" s="21" t="inlineStr">
        <is>
          <t>Severity</t>
        </is>
      </c>
      <c r="E1" s="21" t="inlineStr">
        <is>
          <t>Status</t>
        </is>
      </c>
      <c r="F1" s="21" t="inlineStr">
        <is>
          <t>Expected Value</t>
        </is>
      </c>
      <c r="G1" s="21" t="inlineStr">
        <is>
          <t>Observed Value</t>
        </is>
      </c>
      <c r="H1" s="21" t="inlineStr">
        <is>
          <t>Evidence</t>
        </is>
      </c>
      <c r="I1" s="21" t="inlineStr">
        <is>
          <t>Remediation</t>
        </is>
      </c>
      <c r="J1" s="21" t="inlineStr">
        <is>
          <t>References</t>
        </is>
      </c>
    </row>
    <row r="2" ht="30" customHeight="1">
      <c r="A2" s="22" t="inlineStr">
        <is>
          <t>1.1.1</t>
        </is>
      </c>
      <c r="B2" s="22" t="inlineStr">
        <is>
          <t>Password History &gt;= 24</t>
        </is>
      </c>
      <c r="C2" s="22" t="inlineStr">
        <is>
          <t>Account Policies</t>
        </is>
      </c>
      <c r="D2" s="23" t="inlineStr">
        <is>
          <t>Medium</t>
        </is>
      </c>
      <c r="E2" s="24" t="inlineStr">
        <is>
          <t>Compliant</t>
        </is>
      </c>
      <c r="F2" s="22" t="inlineStr">
        <is>
          <t>&gt;= 24</t>
        </is>
      </c>
      <c r="G2" s="22" t="inlineStr">
        <is>
          <t>24</t>
        </is>
      </c>
      <c r="H2" s="22" t="inlineStr">
        <is>
          <t>[System Access] PasswordHistorySize = 24</t>
        </is>
      </c>
      <c r="I2" s="22" t="inlineStr">
        <is>
          <t>Computer Configuration &gt; Windows Settings &gt; Security Settings &gt; Account Policies &gt; Password Policy &gt; Enforce password history: 24</t>
        </is>
      </c>
      <c r="J2" s="22" t="inlineStr">
        <is>
          <t>CIS 1.1.1 | STIG WN10-AC-000005</t>
        </is>
      </c>
    </row>
    <row r="3" ht="30" customHeight="1">
      <c r="A3" s="25" t="inlineStr">
        <is>
          <t>1.1.2</t>
        </is>
      </c>
      <c r="B3" s="25" t="inlineStr">
        <is>
          <t>Maximum Password Age &lt;= 365 days</t>
        </is>
      </c>
      <c r="C3" s="25" t="inlineStr">
        <is>
          <t>Account Policies</t>
        </is>
      </c>
      <c r="D3" s="26" t="inlineStr">
        <is>
          <t>Medium</t>
        </is>
      </c>
      <c r="E3" s="24" t="inlineStr">
        <is>
          <t>Compliant</t>
        </is>
      </c>
      <c r="F3" s="25" t="inlineStr">
        <is>
          <t>&lt;= 365</t>
        </is>
      </c>
      <c r="G3" s="25" t="inlineStr">
        <is>
          <t>60</t>
        </is>
      </c>
      <c r="H3" s="25" t="inlineStr">
        <is>
          <t>[System Access] MaximumPasswordAge = 60</t>
        </is>
      </c>
      <c r="I3" s="25" t="inlineStr">
        <is>
          <t>Computer Configuration &gt; Account Policies &gt; Password Policy &gt; Maximum password age: 60</t>
        </is>
      </c>
      <c r="J3" s="25" t="inlineStr">
        <is>
          <t>CIS 1.1.2 | NIST SP 800-53 IA-5</t>
        </is>
      </c>
    </row>
    <row r="4" ht="30" customHeight="1">
      <c r="A4" s="22" t="inlineStr">
        <is>
          <t>1.1.3</t>
        </is>
      </c>
      <c r="B4" s="22" t="inlineStr">
        <is>
          <t>Minimum Password Age &gt;= 1 day</t>
        </is>
      </c>
      <c r="C4" s="22" t="inlineStr">
        <is>
          <t>Account Policies</t>
        </is>
      </c>
      <c r="D4" s="23" t="inlineStr">
        <is>
          <t>Medium</t>
        </is>
      </c>
      <c r="E4" s="24" t="inlineStr">
        <is>
          <t>Compliant</t>
        </is>
      </c>
      <c r="F4" s="22" t="inlineStr">
        <is>
          <t>&gt;= 1</t>
        </is>
      </c>
      <c r="G4" s="22" t="inlineStr">
        <is>
          <t>1</t>
        </is>
      </c>
      <c r="H4" s="22" t="inlineStr">
        <is>
          <t>[System Access] MinimumPasswordAge = 1</t>
        </is>
      </c>
      <c r="I4" s="22" t="inlineStr">
        <is>
          <t>Computer Configuration &gt; Account Policies &gt; Password Policy &gt; Minimum password age: 1</t>
        </is>
      </c>
      <c r="J4" s="22" t="inlineStr">
        <is>
          <t>CIS 1.1.3</t>
        </is>
      </c>
    </row>
    <row r="5" ht="30" customHeight="1">
      <c r="A5" s="25" t="inlineStr">
        <is>
          <t>1.1.4</t>
        </is>
      </c>
      <c r="B5" s="25" t="inlineStr">
        <is>
          <t>Minimum Password Length &gt;= 14</t>
        </is>
      </c>
      <c r="C5" s="25" t="inlineStr">
        <is>
          <t>Account Policies</t>
        </is>
      </c>
      <c r="D5" s="27" t="inlineStr">
        <is>
          <t>High</t>
        </is>
      </c>
      <c r="E5" s="24" t="inlineStr">
        <is>
          <t>Compliant</t>
        </is>
      </c>
      <c r="F5" s="25" t="inlineStr">
        <is>
          <t>&gt;= 14</t>
        </is>
      </c>
      <c r="G5" s="25" t="inlineStr">
        <is>
          <t>14</t>
        </is>
      </c>
      <c r="H5" s="25" t="inlineStr">
        <is>
          <t>[System Access] MinimumPasswordLength = 14</t>
        </is>
      </c>
      <c r="I5" s="25" t="inlineStr">
        <is>
          <t>Computer Configuration &gt; Account Policies &gt; Password Policy &gt; Minimum password length: 14</t>
        </is>
      </c>
      <c r="J5" s="25" t="inlineStr">
        <is>
          <t>CIS 1.1.4 | NIST SP 800-63B</t>
        </is>
      </c>
    </row>
    <row r="6" ht="30" customHeight="1">
      <c r="A6" s="22" t="inlineStr">
        <is>
          <t>1.1.5</t>
        </is>
      </c>
      <c r="B6" s="22" t="inlineStr">
        <is>
          <t>Password Complexity Enabled</t>
        </is>
      </c>
      <c r="C6" s="22" t="inlineStr">
        <is>
          <t>Account Policies</t>
        </is>
      </c>
      <c r="D6" s="28" t="inlineStr">
        <is>
          <t>High</t>
        </is>
      </c>
      <c r="E6" s="24" t="inlineStr">
        <is>
          <t>Compliant</t>
        </is>
      </c>
      <c r="F6" s="22">
        <f>= 1</f>
        <v/>
      </c>
      <c r="G6" s="22" t="inlineStr">
        <is>
          <t>1</t>
        </is>
      </c>
      <c r="H6" s="22" t="inlineStr">
        <is>
          <t>[System Access] PasswordComplexity = 1</t>
        </is>
      </c>
      <c r="I6" s="22" t="inlineStr">
        <is>
          <t>Computer Configuration &gt; Account Policies &gt; Password Policy &gt; Password must meet complexity requirements: Enabled</t>
        </is>
      </c>
      <c r="J6" s="22" t="inlineStr">
        <is>
          <t>CIS 1.1.5</t>
        </is>
      </c>
    </row>
    <row r="7" ht="30" customHeight="1">
      <c r="A7" s="25" t="inlineStr">
        <is>
          <t>1.2.1</t>
        </is>
      </c>
      <c r="B7" s="25" t="inlineStr">
        <is>
          <t>Account Lockout Threshold &lt;= 5</t>
        </is>
      </c>
      <c r="C7" s="25" t="inlineStr">
        <is>
          <t>Account Policies</t>
        </is>
      </c>
      <c r="D7" s="27" t="inlineStr">
        <is>
          <t>High</t>
        </is>
      </c>
      <c r="E7" s="24" t="inlineStr">
        <is>
          <t>Compliant</t>
        </is>
      </c>
      <c r="F7" s="25" t="inlineStr">
        <is>
          <t>&lt;= 5</t>
        </is>
      </c>
      <c r="G7" s="25" t="inlineStr">
        <is>
          <t>5</t>
        </is>
      </c>
      <c r="H7" s="25" t="inlineStr">
        <is>
          <t>[System Access] LockoutBadCount = 5</t>
        </is>
      </c>
      <c r="I7" s="25" t="inlineStr">
        <is>
          <t>Computer Configuration &gt; Account Policies &gt; Account Lockout Policy &gt; Account lockout threshold: 5</t>
        </is>
      </c>
      <c r="J7" s="25" t="inlineStr">
        <is>
          <t>CIS 1.2.1 | STIG WN10-AC-000015</t>
        </is>
      </c>
    </row>
    <row r="8" ht="30" customHeight="1">
      <c r="A8" s="22" t="inlineStr">
        <is>
          <t>1.2.2</t>
        </is>
      </c>
      <c r="B8" s="22" t="inlineStr">
        <is>
          <t>Account Lockout Duration &gt;= 15 minutes</t>
        </is>
      </c>
      <c r="C8" s="22" t="inlineStr">
        <is>
          <t>Account Policies</t>
        </is>
      </c>
      <c r="D8" s="23" t="inlineStr">
        <is>
          <t>Medium</t>
        </is>
      </c>
      <c r="E8" s="24" t="inlineStr">
        <is>
          <t>Compliant</t>
        </is>
      </c>
      <c r="F8" s="22" t="inlineStr">
        <is>
          <t>&gt;= 15</t>
        </is>
      </c>
      <c r="G8" s="22" t="inlineStr">
        <is>
          <t>15</t>
        </is>
      </c>
      <c r="H8" s="22" t="inlineStr">
        <is>
          <t>[System Access] LockoutDuration = 15</t>
        </is>
      </c>
      <c r="I8" s="22" t="inlineStr">
        <is>
          <t>Computer Configuration &gt; Account Policies &gt; Account Lockout Policy &gt; Account lockout duration: 15</t>
        </is>
      </c>
      <c r="J8" s="22" t="inlineStr">
        <is>
          <t>CIS 1.2.2</t>
        </is>
      </c>
    </row>
    <row r="9" ht="30" customHeight="1">
      <c r="A9" s="25" t="inlineStr">
        <is>
          <t>2.3.1</t>
        </is>
      </c>
      <c r="B9" s="25" t="inlineStr">
        <is>
          <t>User Account Control: Enable Admin Approval Mode</t>
        </is>
      </c>
      <c r="C9" s="25" t="inlineStr">
        <is>
          <t>User Account Control</t>
        </is>
      </c>
      <c r="D9" s="29" t="inlineStr">
        <is>
          <t>Critical</t>
        </is>
      </c>
      <c r="E9" s="24" t="inlineStr">
        <is>
          <t>Compliant</t>
        </is>
      </c>
      <c r="F9" s="25">
        <f>= 1</f>
        <v/>
      </c>
      <c r="G9" s="25" t="inlineStr">
        <is>
          <t>1</t>
        </is>
      </c>
      <c r="H9" s="25" t="inlineStr">
        <is>
          <t>Registry: HKLM\SOFTWARE\Microsoft\Windows\CurrentVersion\Policies\System\EnableLUA = 1</t>
        </is>
      </c>
      <c r="I9" s="25" t="inlineStr">
        <is>
          <t>Set HKLM\SOFTWARE\Microsoft\Windows\CurrentVersion\Policies\System\EnableLUA = 1</t>
        </is>
      </c>
      <c r="J9" s="25" t="inlineStr">
        <is>
          <t>CIS 2.3.17.1 | STIG WN10-SO-000195</t>
        </is>
      </c>
    </row>
    <row r="10" ht="30" customHeight="1">
      <c r="A10" s="22" t="inlineStr">
        <is>
          <t>2.3.2</t>
        </is>
      </c>
      <c r="B10" s="22" t="inlineStr">
        <is>
          <t>UAC: Admin Prompt Behaviour - Prompt for Consent on Secure Desktop</t>
        </is>
      </c>
      <c r="C10" s="22" t="inlineStr">
        <is>
          <t>User Account Control</t>
        </is>
      </c>
      <c r="D10" s="28" t="inlineStr">
        <is>
          <t>High</t>
        </is>
      </c>
      <c r="E10" s="24" t="inlineStr">
        <is>
          <t>Compliant</t>
        </is>
      </c>
      <c r="F10" s="22">
        <f>= 2</f>
        <v/>
      </c>
      <c r="G10" s="22" t="inlineStr">
        <is>
          <t>2</t>
        </is>
      </c>
      <c r="H10" s="22" t="inlineStr">
        <is>
          <t>Registry: HKLM\SOFTWARE\Microsoft\Windows\CurrentVersion\Policies\System\ConsentPromptBehaviorAdmin = 2</t>
        </is>
      </c>
      <c r="I10" s="22" t="inlineStr">
        <is>
          <t>Set ConsentPromptBehaviorAdmin = 2 (Prompt for consent on the secure desktop)</t>
        </is>
      </c>
      <c r="J10" s="22" t="inlineStr">
        <is>
          <t>CIS 2.3.17.2</t>
        </is>
      </c>
    </row>
    <row r="11" ht="30" customHeight="1">
      <c r="A11" s="25" t="inlineStr">
        <is>
          <t>2.3.3</t>
        </is>
      </c>
      <c r="B11" s="25" t="inlineStr">
        <is>
          <t>UAC: User Prompt Behaviour - Auto Deny Elevation</t>
        </is>
      </c>
      <c r="C11" s="25" t="inlineStr">
        <is>
          <t>User Account Control</t>
        </is>
      </c>
      <c r="D11" s="27" t="inlineStr">
        <is>
          <t>High</t>
        </is>
      </c>
      <c r="E11" s="24" t="inlineStr">
        <is>
          <t>Compliant</t>
        </is>
      </c>
      <c r="F11" s="25">
        <f>= 0</f>
        <v/>
      </c>
      <c r="G11" s="25" t="inlineStr">
        <is>
          <t>0</t>
        </is>
      </c>
      <c r="H11" s="25" t="inlineStr">
        <is>
          <t>Registry: HKLM\SOFTWARE\Microsoft\Windows\CurrentVersion\Policies\System\ConsentPromptBehaviorUser = 0</t>
        </is>
      </c>
      <c r="I11" s="25" t="inlineStr">
        <is>
          <t>Set ConsentPromptBehaviorUser = 0 (Automatically deny elevation requests)</t>
        </is>
      </c>
      <c r="J11" s="25" t="inlineStr">
        <is>
          <t>CIS 2.3.17.3</t>
        </is>
      </c>
    </row>
    <row r="12" ht="30" customHeight="1">
      <c r="A12" s="22" t="inlineStr">
        <is>
          <t>2.3.4</t>
        </is>
      </c>
      <c r="B12" s="22" t="inlineStr">
        <is>
          <t>UAC: Prompt on Secure Desktop</t>
        </is>
      </c>
      <c r="C12" s="22" t="inlineStr">
        <is>
          <t>User Account Control</t>
        </is>
      </c>
      <c r="D12" s="28" t="inlineStr">
        <is>
          <t>High</t>
        </is>
      </c>
      <c r="E12" s="24" t="inlineStr">
        <is>
          <t>Compliant</t>
        </is>
      </c>
      <c r="F12" s="22">
        <f>= 1</f>
        <v/>
      </c>
      <c r="G12" s="22" t="inlineStr">
        <is>
          <t>1</t>
        </is>
      </c>
      <c r="H12" s="22" t="inlineStr">
        <is>
          <t>Registry: HKLM\SOFTWARE\Microsoft\Windows\CurrentVersion\Policies\System\PromptOnSecureDesktop = 1</t>
        </is>
      </c>
      <c r="I12" s="22" t="inlineStr">
        <is>
          <t>Set PromptOnSecureDesktop = 1</t>
        </is>
      </c>
      <c r="J12" s="22" t="inlineStr">
        <is>
          <t>CIS 2.3.17.5</t>
        </is>
      </c>
    </row>
    <row r="13" ht="30" customHeight="1">
      <c r="A13" s="25" t="inlineStr">
        <is>
          <t>3.1.1</t>
        </is>
      </c>
      <c r="B13" s="25" t="inlineStr">
        <is>
          <t>Windows Firewall - Domain Profile: State = On</t>
        </is>
      </c>
      <c r="C13" s="25" t="inlineStr">
        <is>
          <t>Windows Firewall</t>
        </is>
      </c>
      <c r="D13" s="29" t="inlineStr">
        <is>
          <t>Critical</t>
        </is>
      </c>
      <c r="E13" s="24" t="inlineStr">
        <is>
          <t>Compliant</t>
        </is>
      </c>
      <c r="F13" s="25">
        <f>= on</f>
        <v/>
      </c>
      <c r="G13" s="25" t="inlineStr">
        <is>
          <t>ON</t>
        </is>
      </c>
      <c r="H13" s="25" t="inlineStr">
        <is>
          <t>Firewall [domain] state = ON</t>
        </is>
      </c>
      <c r="I13" s="25" t="inlineStr">
        <is>
          <t>Enable Windows Defender Firewall for Domain profile via Group Policy or Settings</t>
        </is>
      </c>
      <c r="J13" s="25" t="inlineStr">
        <is>
          <t>CIS 9.1.1 | STIG WN10-NE-000015</t>
        </is>
      </c>
    </row>
    <row r="14" ht="30" customHeight="1">
      <c r="A14" s="22" t="inlineStr">
        <is>
          <t>3.1.2</t>
        </is>
      </c>
      <c r="B14" s="22" t="inlineStr">
        <is>
          <t>Windows Firewall - Private Profile: State = On</t>
        </is>
      </c>
      <c r="C14" s="22" t="inlineStr">
        <is>
          <t>Windows Firewall</t>
        </is>
      </c>
      <c r="D14" s="30" t="inlineStr">
        <is>
          <t>Critical</t>
        </is>
      </c>
      <c r="E14" s="24" t="inlineStr">
        <is>
          <t>Compliant</t>
        </is>
      </c>
      <c r="F14" s="22">
        <f>= on</f>
        <v/>
      </c>
      <c r="G14" s="22" t="inlineStr">
        <is>
          <t>ON</t>
        </is>
      </c>
      <c r="H14" s="22" t="inlineStr">
        <is>
          <t>Firewall [private] state = ON</t>
        </is>
      </c>
      <c r="I14" s="22" t="inlineStr">
        <is>
          <t>Enable Windows Defender Firewall for Private profile</t>
        </is>
      </c>
      <c r="J14" s="22" t="inlineStr">
        <is>
          <t>CIS 9.2.1</t>
        </is>
      </c>
    </row>
    <row r="15" ht="30" customHeight="1">
      <c r="A15" s="25" t="inlineStr">
        <is>
          <t>3.1.3</t>
        </is>
      </c>
      <c r="B15" s="25" t="inlineStr">
        <is>
          <t>Windows Firewall - Public Profile: State = On</t>
        </is>
      </c>
      <c r="C15" s="25" t="inlineStr">
        <is>
          <t>Windows Firewall</t>
        </is>
      </c>
      <c r="D15" s="29" t="inlineStr">
        <is>
          <t>Critical</t>
        </is>
      </c>
      <c r="E15" s="24" t="inlineStr">
        <is>
          <t>Compliant</t>
        </is>
      </c>
      <c r="F15" s="25">
        <f>= on</f>
        <v/>
      </c>
      <c r="G15" s="25" t="inlineStr">
        <is>
          <t>ON</t>
        </is>
      </c>
      <c r="H15" s="25" t="inlineStr">
        <is>
          <t>Firewall [public] state = ON</t>
        </is>
      </c>
      <c r="I15" s="25" t="inlineStr">
        <is>
          <t>Enable Windows Defender Firewall for Public profile</t>
        </is>
      </c>
      <c r="J15" s="25" t="inlineStr">
        <is>
          <t>CIS 9.3.1</t>
        </is>
      </c>
    </row>
    <row r="16" ht="30" customHeight="1">
      <c r="A16" s="22" t="inlineStr">
        <is>
          <t>4.1.1</t>
        </is>
      </c>
      <c r="B16" s="22" t="inlineStr">
        <is>
          <t>LAN Manager Authentication Level &gt;= 5</t>
        </is>
      </c>
      <c r="C16" s="22" t="inlineStr">
        <is>
          <t>Authentication</t>
        </is>
      </c>
      <c r="D16" s="28" t="inlineStr">
        <is>
          <t>High</t>
        </is>
      </c>
      <c r="E16" s="24" t="inlineStr">
        <is>
          <t>Compliant</t>
        </is>
      </c>
      <c r="F16" s="22" t="inlineStr">
        <is>
          <t>&gt;= 5</t>
        </is>
      </c>
      <c r="G16" s="22" t="inlineStr">
        <is>
          <t>5</t>
        </is>
      </c>
      <c r="H16" s="22" t="inlineStr">
        <is>
          <t>Registry: HKLM\SYSTEM\CurrentControlSet\Control\Lsa\LmCompatibilityLevel = 5</t>
        </is>
      </c>
      <c r="I16" s="22" t="inlineStr">
        <is>
          <t>Set HKLM\SYSTEM\CurrentControlSet\Control\Lsa\LmCompatibilityLevel = 5</t>
        </is>
      </c>
      <c r="J16" s="22" t="inlineStr">
        <is>
          <t>CIS 2.3.11.7 | STIG WN10-SO-000165</t>
        </is>
      </c>
    </row>
    <row r="17" ht="30" customHeight="1">
      <c r="A17" s="25" t="inlineStr">
        <is>
          <t>4.1.2</t>
        </is>
      </c>
      <c r="B17" s="25" t="inlineStr">
        <is>
          <t>Do Not Store LAN Manager Hash</t>
        </is>
      </c>
      <c r="C17" s="25" t="inlineStr">
        <is>
          <t>Authentication</t>
        </is>
      </c>
      <c r="D17" s="27" t="inlineStr">
        <is>
          <t>High</t>
        </is>
      </c>
      <c r="E17" s="24" t="inlineStr">
        <is>
          <t>Compliant</t>
        </is>
      </c>
      <c r="F17" s="25">
        <f>= 1</f>
        <v/>
      </c>
      <c r="G17" s="25" t="inlineStr">
        <is>
          <t>1</t>
        </is>
      </c>
      <c r="H17" s="25" t="inlineStr">
        <is>
          <t>Registry: HKLM\SYSTEM\CurrentControlSet\Control\Lsa\NoLMHash = 1</t>
        </is>
      </c>
      <c r="I17" s="25" t="inlineStr">
        <is>
          <t>Set HKLM\SYSTEM\CurrentControlSet\Control\Lsa\NoLMHash = 1</t>
        </is>
      </c>
      <c r="J17" s="25" t="inlineStr">
        <is>
          <t>CIS 2.3.11.2</t>
        </is>
      </c>
    </row>
    <row r="18" ht="30" customHeight="1">
      <c r="A18" s="22" t="inlineStr">
        <is>
          <t>4.1.3</t>
        </is>
      </c>
      <c r="B18" s="22" t="inlineStr">
        <is>
          <t>WDigest Authentication Disabled</t>
        </is>
      </c>
      <c r="C18" s="22" t="inlineStr">
        <is>
          <t>Authentication</t>
        </is>
      </c>
      <c r="D18" s="30" t="inlineStr">
        <is>
          <t>Critical</t>
        </is>
      </c>
      <c r="E18" s="24" t="inlineStr">
        <is>
          <t>Compliant</t>
        </is>
      </c>
      <c r="F18" s="22">
        <f>= 0</f>
        <v/>
      </c>
      <c r="G18" s="22" t="inlineStr">
        <is>
          <t>0</t>
        </is>
      </c>
      <c r="H18" s="22" t="inlineStr">
        <is>
          <t>Registry: HKLM\SYSTEM\CurrentControlSet\Control\SecurityProviders\WDigest\UseLogonCredential = 0</t>
        </is>
      </c>
      <c r="I18" s="22" t="inlineStr">
        <is>
          <t>Set HKLM\SYSTEM\CurrentControlSet\Control\SecurityProviders\WDigest\UseLogonCredential = 0</t>
        </is>
      </c>
      <c r="J18" s="22" t="inlineStr">
        <is>
          <t>CIS 18.3.7 | STIG WN10-CC-000038</t>
        </is>
      </c>
    </row>
    <row r="19" ht="30" customHeight="1">
      <c r="A19" s="25" t="inlineStr">
        <is>
          <t>5.1.1</t>
        </is>
      </c>
      <c r="B19" s="25" t="inlineStr">
        <is>
          <t>Remote Registry Service: Disabled</t>
        </is>
      </c>
      <c r="C19" s="25" t="inlineStr">
        <is>
          <t>Services</t>
        </is>
      </c>
      <c r="D19" s="27" t="inlineStr">
        <is>
          <t>High</t>
        </is>
      </c>
      <c r="E19" s="24" t="inlineStr">
        <is>
          <t>Compliant</t>
        </is>
      </c>
      <c r="F19" s="25">
        <f>=</f>
        <v/>
      </c>
      <c r="G19" s="25" t="inlineStr">
        <is>
          <t>Startup=Disabled, State=STOPPED</t>
        </is>
      </c>
      <c r="H19" s="25" t="inlineStr">
        <is>
          <t>Service: RemoteRegistry | Startup=Disabled, State=STOPPED</t>
        </is>
      </c>
      <c r="I19" s="25" t="inlineStr">
        <is>
          <t>Set Remote Registry service Startup Type to Disabled via services.msc or Group Policy</t>
        </is>
      </c>
      <c r="J19" s="25" t="inlineStr">
        <is>
          <t>CIS 5.28 | STIG WN10-00-000175</t>
        </is>
      </c>
    </row>
    <row r="20" ht="30" customHeight="1">
      <c r="A20" s="22" t="inlineStr">
        <is>
          <t>5.1.2</t>
        </is>
      </c>
      <c r="B20" s="22" t="inlineStr">
        <is>
          <t>Print Spooler: Disabled (if not required)</t>
        </is>
      </c>
      <c r="C20" s="22" t="inlineStr">
        <is>
          <t>Services</t>
        </is>
      </c>
      <c r="D20" s="28" t="inlineStr">
        <is>
          <t>High</t>
        </is>
      </c>
      <c r="E20" s="31" t="inlineStr">
        <is>
          <t>Non-Compliant</t>
        </is>
      </c>
      <c r="F20" s="22">
        <f>=</f>
        <v/>
      </c>
      <c r="G20" s="22" t="inlineStr">
        <is>
          <t>Startup=Manual, State=STOPPED</t>
        </is>
      </c>
      <c r="H20" s="22" t="inlineStr">
        <is>
          <t>Service: Spooler | Startup=Manual, State=STOPPED</t>
        </is>
      </c>
      <c r="I20" s="22" t="inlineStr">
        <is>
          <t>Disable the Print Spooler service on non-printing workstations</t>
        </is>
      </c>
      <c r="J20" s="22" t="inlineStr">
        <is>
          <t>CIS 5.29 | CVE-2021-34527 (PrintNightmare)</t>
        </is>
      </c>
    </row>
    <row r="21" ht="30" customHeight="1">
      <c r="A21" s="25" t="inlineStr">
        <is>
          <t>6.1.1</t>
        </is>
      </c>
      <c r="B21" s="25" t="inlineStr">
        <is>
          <t>Audit Credential Validation: Success and Failure</t>
        </is>
      </c>
      <c r="C21" s="25" t="inlineStr">
        <is>
          <t>Audit Policy</t>
        </is>
      </c>
      <c r="D21" s="26" t="inlineStr">
        <is>
          <t>Medium</t>
        </is>
      </c>
      <c r="E21" s="24" t="inlineStr">
        <is>
          <t>Compliant</t>
        </is>
      </c>
      <c r="F21" s="25">
        <f>= Success and Failure</f>
        <v/>
      </c>
      <c r="G21" s="25" t="inlineStr">
        <is>
          <t>Success and Failure</t>
        </is>
      </c>
      <c r="H21" s="25" t="inlineStr">
        <is>
          <t>Audit Policy: Credential Validation = Success and Failure</t>
        </is>
      </c>
      <c r="I21" s="25" t="inlineStr">
        <is>
          <t>auditpol /set /subcategory:'Credential Validation' /success:enable /failure:enable</t>
        </is>
      </c>
      <c r="J21" s="25" t="inlineStr">
        <is>
          <t>CIS 17.1.1</t>
        </is>
      </c>
    </row>
    <row r="22" ht="30" customHeight="1">
      <c r="A22" s="22" t="inlineStr">
        <is>
          <t>6.1.2</t>
        </is>
      </c>
      <c r="B22" s="22" t="inlineStr">
        <is>
          <t>Audit Logon Events: Success and Failure</t>
        </is>
      </c>
      <c r="C22" s="22" t="inlineStr">
        <is>
          <t>Audit Policy</t>
        </is>
      </c>
      <c r="D22" s="28" t="inlineStr">
        <is>
          <t>High</t>
        </is>
      </c>
      <c r="E22" s="24" t="inlineStr">
        <is>
          <t>Compliant</t>
        </is>
      </c>
      <c r="F22" s="22">
        <f>= Success and Failure</f>
        <v/>
      </c>
      <c r="G22" s="22" t="inlineStr">
        <is>
          <t>Success and Failure</t>
        </is>
      </c>
      <c r="H22" s="22" t="inlineStr">
        <is>
          <t>Audit Policy: Logon = Success and Failure</t>
        </is>
      </c>
      <c r="I22" s="22" t="inlineStr">
        <is>
          <t>auditpol /set /subcategory:'Logon' /success:enable /failure:enable</t>
        </is>
      </c>
      <c r="J22" s="22" t="inlineStr">
        <is>
          <t>CIS 17.5.4 | STIG WN10-AU-000035</t>
        </is>
      </c>
    </row>
    <row r="23" ht="30" customHeight="1">
      <c r="A23" s="25" t="inlineStr">
        <is>
          <t>6.1.3</t>
        </is>
      </c>
      <c r="B23" s="25" t="inlineStr">
        <is>
          <t>Audit Account Lockout: Failure</t>
        </is>
      </c>
      <c r="C23" s="25" t="inlineStr">
        <is>
          <t>Audit Policy</t>
        </is>
      </c>
      <c r="D23" s="26" t="inlineStr">
        <is>
          <t>Medium</t>
        </is>
      </c>
      <c r="E23" s="24" t="inlineStr">
        <is>
          <t>Compliant</t>
        </is>
      </c>
      <c r="F23" s="25" t="inlineStr">
        <is>
          <t>contains Failure</t>
        </is>
      </c>
      <c r="G23" s="25" t="inlineStr">
        <is>
          <t>Failure</t>
        </is>
      </c>
      <c r="H23" s="25" t="inlineStr">
        <is>
          <t>Audit Policy: Account Lockout = Failure</t>
        </is>
      </c>
      <c r="I23" s="25" t="inlineStr">
        <is>
          <t>auditpol /set /subcategory:'Account Lockout' /failure:enable</t>
        </is>
      </c>
      <c r="J23" s="25" t="inlineStr">
        <is>
          <t>CIS 17.5.1</t>
        </is>
      </c>
    </row>
    <row r="24" ht="30" customHeight="1">
      <c r="A24" s="22" t="inlineStr">
        <is>
          <t>6.1.4</t>
        </is>
      </c>
      <c r="B24" s="22" t="inlineStr">
        <is>
          <t>Audit Process Creation: Success</t>
        </is>
      </c>
      <c r="C24" s="22" t="inlineStr">
        <is>
          <t>Audit Policy</t>
        </is>
      </c>
      <c r="D24" s="23" t="inlineStr">
        <is>
          <t>Medium</t>
        </is>
      </c>
      <c r="E24" s="24" t="inlineStr">
        <is>
          <t>Compliant</t>
        </is>
      </c>
      <c r="F24" s="22" t="inlineStr">
        <is>
          <t>contains Success</t>
        </is>
      </c>
      <c r="G24" s="22" t="inlineStr">
        <is>
          <t>Success</t>
        </is>
      </c>
      <c r="H24" s="22" t="inlineStr">
        <is>
          <t>Audit Policy: Process Creation = Success</t>
        </is>
      </c>
      <c r="I24" s="22" t="inlineStr">
        <is>
          <t>auditpol /set /subcategory:'Process Creation' /success:enable</t>
        </is>
      </c>
      <c r="J24" s="22" t="inlineStr">
        <is>
          <t>CIS 17.8.1</t>
        </is>
      </c>
    </row>
    <row r="25" ht="30" customHeight="1">
      <c r="A25" s="25" t="inlineStr">
        <is>
          <t>7.1.1</t>
        </is>
      </c>
      <c r="B25" s="25" t="inlineStr">
        <is>
          <t>Autorun Disabled for All Drives</t>
        </is>
      </c>
      <c r="C25" s="25" t="inlineStr">
        <is>
          <t>Security Settings</t>
        </is>
      </c>
      <c r="D25" s="27" t="inlineStr">
        <is>
          <t>High</t>
        </is>
      </c>
      <c r="E25" s="24" t="inlineStr">
        <is>
          <t>Compliant</t>
        </is>
      </c>
      <c r="F25" s="25">
        <f>= 255</f>
        <v/>
      </c>
      <c r="G25" s="25" t="inlineStr">
        <is>
          <t>255</t>
        </is>
      </c>
      <c r="H25" s="25" t="inlineStr">
        <is>
          <t>Registry: HKLM\SOFTWARE\Microsoft\Windows\CurrentVersion\Policies\Explorer\NoDriveTypeAutoRun = 255</t>
        </is>
      </c>
      <c r="I25" s="25" t="inlineStr">
        <is>
          <t>Set NoDriveTypeAutoRun = 255 (0xFF) to disable AutoRun for all drive types</t>
        </is>
      </c>
      <c r="J25" s="25" t="inlineStr">
        <is>
          <t>CIS 18.8.45.2</t>
        </is>
      </c>
    </row>
    <row r="26" ht="30" customHeight="1">
      <c r="A26" s="22" t="inlineStr">
        <is>
          <t>7.1.2</t>
        </is>
      </c>
      <c r="B26" s="22" t="inlineStr">
        <is>
          <t>Anonymous Access Restricted</t>
        </is>
      </c>
      <c r="C26" s="22" t="inlineStr">
        <is>
          <t>Security Settings</t>
        </is>
      </c>
      <c r="D26" s="28" t="inlineStr">
        <is>
          <t>High</t>
        </is>
      </c>
      <c r="E26" s="24" t="inlineStr">
        <is>
          <t>Compliant</t>
        </is>
      </c>
      <c r="F26" s="22">
        <f>= 1</f>
        <v/>
      </c>
      <c r="G26" s="22" t="inlineStr">
        <is>
          <t>1</t>
        </is>
      </c>
      <c r="H26" s="22" t="inlineStr">
        <is>
          <t>Registry: HKLM\SYSTEM\CurrentControlSet\Control\Lsa\RestrictAnonymous = 1</t>
        </is>
      </c>
      <c r="I26" s="22" t="inlineStr">
        <is>
          <t>Set HKLM\SYSTEM\CurrentControlSet\Control\Lsa\RestrictAnonymous = 1</t>
        </is>
      </c>
      <c r="J26" s="22" t="inlineStr">
        <is>
          <t>CIS 2.3.10.2</t>
        </is>
      </c>
    </row>
    <row r="27" ht="30" customHeight="1">
      <c r="A27" s="25" t="inlineStr">
        <is>
          <t>7.1.3</t>
        </is>
      </c>
      <c r="B27" s="25" t="inlineStr">
        <is>
          <t>Anonymous SAM Enumeration Restricted</t>
        </is>
      </c>
      <c r="C27" s="25" t="inlineStr">
        <is>
          <t>Security Settings</t>
        </is>
      </c>
      <c r="D27" s="27" t="inlineStr">
        <is>
          <t>High</t>
        </is>
      </c>
      <c r="E27" s="24" t="inlineStr">
        <is>
          <t>Compliant</t>
        </is>
      </c>
      <c r="F27" s="25">
        <f>= 1</f>
        <v/>
      </c>
      <c r="G27" s="25" t="inlineStr">
        <is>
          <t>1</t>
        </is>
      </c>
      <c r="H27" s="25" t="inlineStr">
        <is>
          <t>Registry: HKLM\SYSTEM\CurrentControlSet\Control\Lsa\RestrictAnonymousSAM = 1</t>
        </is>
      </c>
      <c r="I27" s="25" t="inlineStr">
        <is>
          <t>Set HKLM\SYSTEM\CurrentControlSet\Control\Lsa\RestrictAnonymousSAM = 1</t>
        </is>
      </c>
      <c r="J27" s="25" t="inlineStr">
        <is>
          <t>CIS 2.3.10.1</t>
        </is>
      </c>
    </row>
    <row r="28" ht="30" customHeight="1">
      <c r="A28" s="22" t="inlineStr">
        <is>
          <t>7.2.1</t>
        </is>
      </c>
      <c r="B28" s="22" t="inlineStr">
        <is>
          <t>WinRM Client: Disable Basic Authentication</t>
        </is>
      </c>
      <c r="C28" s="22" t="inlineStr">
        <is>
          <t>Remote Management</t>
        </is>
      </c>
      <c r="D28" s="28" t="inlineStr">
        <is>
          <t>High</t>
        </is>
      </c>
      <c r="E28" s="24" t="inlineStr">
        <is>
          <t>Compliant</t>
        </is>
      </c>
      <c r="F28" s="22">
        <f>= 0</f>
        <v/>
      </c>
      <c r="G28" s="22" t="inlineStr">
        <is>
          <t>0</t>
        </is>
      </c>
      <c r="H28" s="22" t="inlineStr">
        <is>
          <t>Registry: HKLM\SOFTWARE\Policies\Microsoft\Windows\WinRM\Client\AllowBasic = 0</t>
        </is>
      </c>
      <c r="I28" s="22" t="inlineStr">
        <is>
          <t>Set HKLM\SOFTWARE\Policies\Microsoft\Windows\WinRM\Client\AllowBasic = 0</t>
        </is>
      </c>
      <c r="J28" s="22" t="inlineStr">
        <is>
          <t>CIS 18.9.102.1.1</t>
        </is>
      </c>
    </row>
    <row r="29" ht="30" customHeight="1">
      <c r="A29" s="25" t="inlineStr">
        <is>
          <t>7.2.2</t>
        </is>
      </c>
      <c r="B29" s="25" t="inlineStr">
        <is>
          <t>WinRM Service: Disable Basic Authentication</t>
        </is>
      </c>
      <c r="C29" s="25" t="inlineStr">
        <is>
          <t>Remote Management</t>
        </is>
      </c>
      <c r="D29" s="27" t="inlineStr">
        <is>
          <t>High</t>
        </is>
      </c>
      <c r="E29" s="24" t="inlineStr">
        <is>
          <t>Compliant</t>
        </is>
      </c>
      <c r="F29" s="25">
        <f>= 0</f>
        <v/>
      </c>
      <c r="G29" s="25" t="inlineStr">
        <is>
          <t>0</t>
        </is>
      </c>
      <c r="H29" s="25" t="inlineStr">
        <is>
          <t>Registry: HKLM\SOFTWARE\Policies\Microsoft\Windows\WinRM\Service\AllowBasic = 0</t>
        </is>
      </c>
      <c r="I29" s="25" t="inlineStr">
        <is>
          <t>Set HKLM\SOFTWARE\Policies\Microsoft\Windows\WinRM\Service\AllowBasic = 0</t>
        </is>
      </c>
      <c r="J29" s="25" t="inlineStr">
        <is>
          <t>CIS 18.9.102.2.1</t>
        </is>
      </c>
    </row>
    <row r="30" ht="30" customHeight="1">
      <c r="A30" s="22" t="inlineStr">
        <is>
          <t>8.1.1</t>
        </is>
      </c>
      <c r="B30" s="22" t="inlineStr">
        <is>
          <t>Windows Update: Auto-Update Enabled</t>
        </is>
      </c>
      <c r="C30" s="22" t="inlineStr">
        <is>
          <t>Patch Management</t>
        </is>
      </c>
      <c r="D30" s="30" t="inlineStr">
        <is>
          <t>Critical</t>
        </is>
      </c>
      <c r="E30" s="24" t="inlineStr">
        <is>
          <t>Compliant</t>
        </is>
      </c>
      <c r="F30" s="22">
        <f>= 0</f>
        <v/>
      </c>
      <c r="G30" s="22" t="inlineStr">
        <is>
          <t>0</t>
        </is>
      </c>
      <c r="H30" s="22" t="inlineStr">
        <is>
          <t>Registry: HKLM\SOFTWARE\Policies\Microsoft\Windows\WindowsUpdate\AU\NoAutoUpdate = 0</t>
        </is>
      </c>
      <c r="I30" s="22" t="inlineStr">
        <is>
          <t>Enable Windows Update via Group Policy: Computer Configuration &gt; Administrative Templates &gt; Windows Update</t>
        </is>
      </c>
      <c r="J30" s="22" t="inlineStr">
        <is>
          <t>CIS 18.9.108.1.1</t>
        </is>
      </c>
    </row>
    <row r="31" ht="30" customHeight="1">
      <c r="A31" s="25" t="inlineStr">
        <is>
          <t>8.1.2</t>
        </is>
      </c>
      <c r="B31" s="25" t="inlineStr">
        <is>
          <t>Windows Update: Configure Automatic Updates = 4 (Download and Schedule)</t>
        </is>
      </c>
      <c r="C31" s="25" t="inlineStr">
        <is>
          <t>Patch Management</t>
        </is>
      </c>
      <c r="D31" s="27" t="inlineStr">
        <is>
          <t>High</t>
        </is>
      </c>
      <c r="E31" s="24" t="inlineStr">
        <is>
          <t>Compliant</t>
        </is>
      </c>
      <c r="F31" s="25">
        <f>= 4</f>
        <v/>
      </c>
      <c r="G31" s="25" t="inlineStr">
        <is>
          <t>4</t>
        </is>
      </c>
      <c r="H31" s="25" t="inlineStr">
        <is>
          <t>Registry: HKLM\SOFTWARE\Policies\Microsoft\Windows\WindowsUpdate\AU\AUOptions = 4</t>
        </is>
      </c>
      <c r="I31" s="25" t="inlineStr">
        <is>
          <t>Set AUOptions = 4 (Auto download and schedule the install)</t>
        </is>
      </c>
      <c r="J31" s="25" t="inlineStr">
        <is>
          <t>CIS 18.9.108.1.2</t>
        </is>
      </c>
    </row>
    <row r="32" ht="30" customHeight="1">
      <c r="A32" s="22" t="inlineStr">
        <is>
          <t>8.2.1</t>
        </is>
      </c>
      <c r="B32" s="22" t="inlineStr">
        <is>
          <t>LLMNR Disabled</t>
        </is>
      </c>
      <c r="C32" s="22" t="inlineStr">
        <is>
          <t>Network Security</t>
        </is>
      </c>
      <c r="D32" s="28" t="inlineStr">
        <is>
          <t>High</t>
        </is>
      </c>
      <c r="E32" s="24" t="inlineStr">
        <is>
          <t>Compliant</t>
        </is>
      </c>
      <c r="F32" s="22">
        <f>= 0</f>
        <v/>
      </c>
      <c r="G32" s="22" t="inlineStr">
        <is>
          <t>0</t>
        </is>
      </c>
      <c r="H32" s="22" t="inlineStr">
        <is>
          <t>Registry: HKLM\SOFTWARE\Policies\Microsoft\Windows NT\DNSClient\EnableMulticast = 0</t>
        </is>
      </c>
      <c r="I32" s="22" t="inlineStr">
        <is>
          <t>Set HKLM\SOFTWARE\Policies\Microsoft\Windows NT\DNSClient\EnableMulticast = 0</t>
        </is>
      </c>
      <c r="J32" s="22" t="inlineStr">
        <is>
          <t>CIS 18.5.4.2</t>
        </is>
      </c>
    </row>
    <row r="33" ht="30" customHeight="1">
      <c r="A33" s="25" t="inlineStr">
        <is>
          <t>8.2.2</t>
        </is>
      </c>
      <c r="B33" s="25" t="inlineStr">
        <is>
          <t>Plain Text Password on LAN Manager Disabled</t>
        </is>
      </c>
      <c r="C33" s="25" t="inlineStr">
        <is>
          <t>Network Security</t>
        </is>
      </c>
      <c r="D33" s="29" t="inlineStr">
        <is>
          <t>Critical</t>
        </is>
      </c>
      <c r="E33" s="24" t="inlineStr">
        <is>
          <t>Compliant</t>
        </is>
      </c>
      <c r="F33" s="25">
        <f>= 0</f>
        <v/>
      </c>
      <c r="G33" s="25" t="inlineStr">
        <is>
          <t>0</t>
        </is>
      </c>
      <c r="H33" s="25" t="inlineStr">
        <is>
          <t>Registry: HKLM\SYSTEM\CurrentControlSet\Services\LanmanWorkstation\Parameters\EnablePlainTextPassword = 0</t>
        </is>
      </c>
      <c r="I33" s="25" t="inlineStr">
        <is>
          <t>Set EnablePlainTextPassword = 0 under LanmanWorkstation\Parameters</t>
        </is>
      </c>
      <c r="J33" s="25" t="inlineStr">
        <is>
          <t>CIS 2.3.8.1</t>
        </is>
      </c>
    </row>
    <row r="34" ht="30" customHeight="1">
      <c r="A34" s="22" t="inlineStr">
        <is>
          <t>8.3.1</t>
        </is>
      </c>
      <c r="B34" s="22" t="inlineStr">
        <is>
          <t>Audit Special Logon: Success</t>
        </is>
      </c>
      <c r="C34" s="22" t="inlineStr">
        <is>
          <t>Audit Policy</t>
        </is>
      </c>
      <c r="D34" s="23" t="inlineStr">
        <is>
          <t>Medium</t>
        </is>
      </c>
      <c r="E34" s="24" t="inlineStr">
        <is>
          <t>Compliant</t>
        </is>
      </c>
      <c r="F34" s="22" t="inlineStr">
        <is>
          <t>contains Success</t>
        </is>
      </c>
      <c r="G34" s="22" t="inlineStr">
        <is>
          <t>Success</t>
        </is>
      </c>
      <c r="H34" s="22" t="inlineStr">
        <is>
          <t>Audit Policy: Special Logon = Success</t>
        </is>
      </c>
      <c r="I34" s="22" t="inlineStr">
        <is>
          <t>auditpol /set /subcategory:'Special Logon' /success:enable</t>
        </is>
      </c>
      <c r="J34" s="22" t="inlineStr">
        <is>
          <t>CIS 17.5.6</t>
        </is>
      </c>
    </row>
    <row r="35" ht="30" customHeight="1">
      <c r="A35" s="25" t="inlineStr">
        <is>
          <t>8.3.2</t>
        </is>
      </c>
      <c r="B35" s="25" t="inlineStr">
        <is>
          <t>Audit User Account Management: Success and Failure</t>
        </is>
      </c>
      <c r="C35" s="25" t="inlineStr">
        <is>
          <t>Audit Policy</t>
        </is>
      </c>
      <c r="D35" s="26" t="inlineStr">
        <is>
          <t>Medium</t>
        </is>
      </c>
      <c r="E35" s="24" t="inlineStr">
        <is>
          <t>Compliant</t>
        </is>
      </c>
      <c r="F35" s="25">
        <f>= Success and Failure</f>
        <v/>
      </c>
      <c r="G35" s="25" t="inlineStr">
        <is>
          <t>Success and Failure</t>
        </is>
      </c>
      <c r="H35" s="25" t="inlineStr">
        <is>
          <t>Audit Policy: User Account Management = Success and Failure</t>
        </is>
      </c>
      <c r="I35" s="25" t="inlineStr">
        <is>
          <t>auditpol /set /subcategory:'User Account Management' /success:enable /failure:enable</t>
        </is>
      </c>
      <c r="J35" s="25" t="inlineStr">
        <is>
          <t>CIS 17.2.5</t>
        </is>
      </c>
    </row>
    <row r="36" ht="30" customHeight="1">
      <c r="A36" s="22" t="inlineStr">
        <is>
          <t>8.3.3</t>
        </is>
      </c>
      <c r="B36" s="22" t="inlineStr">
        <is>
          <t>Audit Audit Policy Change: Success and Failure</t>
        </is>
      </c>
      <c r="C36" s="22" t="inlineStr">
        <is>
          <t>Audit Policy</t>
        </is>
      </c>
      <c r="D36" s="23" t="inlineStr">
        <is>
          <t>Medium</t>
        </is>
      </c>
      <c r="E36" s="24" t="inlineStr">
        <is>
          <t>Compliant</t>
        </is>
      </c>
      <c r="F36" s="22">
        <f>= Success and Failure</f>
        <v/>
      </c>
      <c r="G36" s="22" t="inlineStr">
        <is>
          <t>Success and Failure</t>
        </is>
      </c>
      <c r="H36" s="22" t="inlineStr">
        <is>
          <t>Audit Policy: Audit Policy Change = Success and Failure</t>
        </is>
      </c>
      <c r="I36" s="22" t="inlineStr">
        <is>
          <t>auditpol /set /subcategory:'Audit Policy Change' /success:enable /failure:enable</t>
        </is>
      </c>
      <c r="J36" s="22" t="inlineStr">
        <is>
          <t>CIS 17.7.1</t>
        </is>
      </c>
    </row>
    <row r="37" ht="30" customHeight="1">
      <c r="A37" s="25" t="inlineStr">
        <is>
          <t>8.4.1</t>
        </is>
      </c>
      <c r="B37" s="25" t="inlineStr">
        <is>
          <t>Screen Saver Grace Period &lt;= 5 seconds</t>
        </is>
      </c>
      <c r="C37" s="25" t="inlineStr">
        <is>
          <t>Session Security</t>
        </is>
      </c>
      <c r="D37" s="32" t="inlineStr">
        <is>
          <t>Low</t>
        </is>
      </c>
      <c r="E37" s="24" t="inlineStr">
        <is>
          <t>Compliant</t>
        </is>
      </c>
      <c r="F37" s="25" t="inlineStr">
        <is>
          <t>&lt;= 5</t>
        </is>
      </c>
      <c r="G37" s="25" t="inlineStr">
        <is>
          <t>5</t>
        </is>
      </c>
      <c r="H37" s="25" t="inlineStr">
        <is>
          <t>Registry: HKLM\SOFTWARE\Microsoft\Windows NT\CurrentVersion\Winlogon\ScreenSaverGracePeriod = 5</t>
        </is>
      </c>
      <c r="I37" s="25" t="inlineStr">
        <is>
          <t>Set HKLM\SOFTWARE\Microsoft\Windows NT\CurrentVersion\Winlogon\ScreenSaverGracePeriod = 5</t>
        </is>
      </c>
      <c r="J37" s="25" t="inlineStr">
        <is>
          <t>CIS 2.3.13.1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6" customWidth="1" min="4" max="4"/>
    <col width="10" customWidth="1" min="5" max="5"/>
    <col width="14" customWidth="1" min="6" max="6"/>
  </cols>
  <sheetData>
    <row r="1" ht="28" customHeight="1">
      <c r="A1" s="21" t="inlineStr">
        <is>
          <t>Category</t>
        </is>
      </c>
      <c r="B1" s="21" t="inlineStr">
        <is>
          <t>Total</t>
        </is>
      </c>
      <c r="C1" s="21" t="inlineStr">
        <is>
          <t>Compliant</t>
        </is>
      </c>
      <c r="D1" s="21" t="inlineStr">
        <is>
          <t>Non-Compliant</t>
        </is>
      </c>
      <c r="E1" s="21" t="inlineStr">
        <is>
          <t>Errors</t>
        </is>
      </c>
      <c r="F1" s="21" t="inlineStr">
        <is>
          <t>Pass Rate %</t>
        </is>
      </c>
    </row>
    <row r="2" ht="20" customHeight="1">
      <c r="A2" s="17" t="inlineStr">
        <is>
          <t>Account Policies</t>
        </is>
      </c>
      <c r="B2" s="18" t="n">
        <v>7</v>
      </c>
      <c r="C2" s="18" t="n">
        <v>7</v>
      </c>
      <c r="D2" s="18" t="n">
        <v>0</v>
      </c>
      <c r="E2" s="18" t="n">
        <v>0</v>
      </c>
      <c r="F2" s="33" t="n">
        <v>100</v>
      </c>
    </row>
    <row r="3" ht="20" customHeight="1">
      <c r="A3" s="19" t="inlineStr">
        <is>
          <t>Audit Policy</t>
        </is>
      </c>
      <c r="B3" s="20" t="n">
        <v>7</v>
      </c>
      <c r="C3" s="20" t="n">
        <v>7</v>
      </c>
      <c r="D3" s="20" t="n">
        <v>0</v>
      </c>
      <c r="E3" s="20" t="n">
        <v>0</v>
      </c>
      <c r="F3" s="34" t="n">
        <v>100</v>
      </c>
    </row>
    <row r="4" ht="20" customHeight="1">
      <c r="A4" s="17" t="inlineStr">
        <is>
          <t>Authentication</t>
        </is>
      </c>
      <c r="B4" s="18" t="n">
        <v>3</v>
      </c>
      <c r="C4" s="18" t="n">
        <v>3</v>
      </c>
      <c r="D4" s="18" t="n">
        <v>0</v>
      </c>
      <c r="E4" s="18" t="n">
        <v>0</v>
      </c>
      <c r="F4" s="33" t="n">
        <v>100</v>
      </c>
    </row>
    <row r="5" ht="20" customHeight="1">
      <c r="A5" s="19" t="inlineStr">
        <is>
          <t>Network Security</t>
        </is>
      </c>
      <c r="B5" s="20" t="n">
        <v>2</v>
      </c>
      <c r="C5" s="20" t="n">
        <v>2</v>
      </c>
      <c r="D5" s="20" t="n">
        <v>0</v>
      </c>
      <c r="E5" s="20" t="n">
        <v>0</v>
      </c>
      <c r="F5" s="34" t="n">
        <v>100</v>
      </c>
    </row>
    <row r="6" ht="20" customHeight="1">
      <c r="A6" s="17" t="inlineStr">
        <is>
          <t>Patch Management</t>
        </is>
      </c>
      <c r="B6" s="18" t="n">
        <v>2</v>
      </c>
      <c r="C6" s="18" t="n">
        <v>2</v>
      </c>
      <c r="D6" s="18" t="n">
        <v>0</v>
      </c>
      <c r="E6" s="18" t="n">
        <v>0</v>
      </c>
      <c r="F6" s="33" t="n">
        <v>100</v>
      </c>
    </row>
    <row r="7" ht="20" customHeight="1">
      <c r="A7" s="19" t="inlineStr">
        <is>
          <t>Remote Management</t>
        </is>
      </c>
      <c r="B7" s="20" t="n">
        <v>2</v>
      </c>
      <c r="C7" s="20" t="n">
        <v>2</v>
      </c>
      <c r="D7" s="20" t="n">
        <v>0</v>
      </c>
      <c r="E7" s="20" t="n">
        <v>0</v>
      </c>
      <c r="F7" s="34" t="n">
        <v>100</v>
      </c>
    </row>
    <row r="8" ht="20" customHeight="1">
      <c r="A8" s="17" t="inlineStr">
        <is>
          <t>Security Settings</t>
        </is>
      </c>
      <c r="B8" s="18" t="n">
        <v>3</v>
      </c>
      <c r="C8" s="18" t="n">
        <v>3</v>
      </c>
      <c r="D8" s="18" t="n">
        <v>0</v>
      </c>
      <c r="E8" s="18" t="n">
        <v>0</v>
      </c>
      <c r="F8" s="33" t="n">
        <v>100</v>
      </c>
    </row>
    <row r="9" ht="20" customHeight="1">
      <c r="A9" s="19" t="inlineStr">
        <is>
          <t>Services</t>
        </is>
      </c>
      <c r="B9" s="20" t="n">
        <v>2</v>
      </c>
      <c r="C9" s="20" t="n">
        <v>1</v>
      </c>
      <c r="D9" s="20" t="n">
        <v>1</v>
      </c>
      <c r="E9" s="20" t="n">
        <v>0</v>
      </c>
      <c r="F9" s="35" t="n">
        <v>50</v>
      </c>
    </row>
    <row r="10" ht="20" customHeight="1">
      <c r="A10" s="17" t="inlineStr">
        <is>
          <t>Session Security</t>
        </is>
      </c>
      <c r="B10" s="18" t="n">
        <v>1</v>
      </c>
      <c r="C10" s="18" t="n">
        <v>1</v>
      </c>
      <c r="D10" s="18" t="n">
        <v>0</v>
      </c>
      <c r="E10" s="18" t="n">
        <v>0</v>
      </c>
      <c r="F10" s="33" t="n">
        <v>100</v>
      </c>
    </row>
    <row r="11" ht="20" customHeight="1">
      <c r="A11" s="19" t="inlineStr">
        <is>
          <t>User Account Control</t>
        </is>
      </c>
      <c r="B11" s="20" t="n">
        <v>4</v>
      </c>
      <c r="C11" s="20" t="n">
        <v>4</v>
      </c>
      <c r="D11" s="20" t="n">
        <v>0</v>
      </c>
      <c r="E11" s="20" t="n">
        <v>0</v>
      </c>
      <c r="F11" s="34" t="n">
        <v>100</v>
      </c>
    </row>
    <row r="12" ht="20" customHeight="1">
      <c r="A12" s="17" t="inlineStr">
        <is>
          <t>Windows Firewall</t>
        </is>
      </c>
      <c r="B12" s="18" t="n">
        <v>3</v>
      </c>
      <c r="C12" s="18" t="n">
        <v>3</v>
      </c>
      <c r="D12" s="18" t="n">
        <v>0</v>
      </c>
      <c r="E12" s="18" t="n">
        <v>0</v>
      </c>
      <c r="F12" s="3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2026-03-18T11:31:05Z</dcterms:created>
  <dcterms:modified xmlns:dcterms="http://purl.org/dc/terms/" xmlns:xsi="http://www.w3.org/2001/XMLSchema-instance" xsi:type="dcterms:W3CDTF">2026-03-18T11:31:05Z</dcterms:modified>
</cp:coreProperties>
</file>